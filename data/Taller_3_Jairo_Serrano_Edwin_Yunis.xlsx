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yunis\Downloads\"/>
    </mc:Choice>
  </mc:AlternateContent>
  <xr:revisionPtr revIDLastSave="0" documentId="13_ncr:1_{4C2364E8-E522-43C3-BE8E-040E8EC09E2F}" xr6:coauthVersionLast="47" xr6:coauthVersionMax="47" xr10:uidLastSave="{00000000-0000-0000-0000-000000000000}"/>
  <bookViews>
    <workbookView xWindow="-120" yWindow="-120" windowWidth="29040" windowHeight="15720" xr2:uid="{7F388398-DF00-4082-8784-4321DC42791C}"/>
  </bookViews>
  <sheets>
    <sheet name="Hoja1" sheetId="1" r:id="rId1"/>
    <sheet name="Optimizacion" sheetId="2" r:id="rId2"/>
  </sheets>
  <definedNames>
    <definedName name="_xlnm._FilterDatabase" localSheetId="0" hidden="1">Hoja1!$R$16:$AD$16</definedName>
    <definedName name="solver_adj" localSheetId="1" hidden="1">Optimizacion!$C$4:$N$7,Optimizacion!$H$12:$K$23</definedName>
    <definedName name="solver_cvg" localSheetId="1" hidden="1">0.0001</definedName>
    <definedName name="solver_drv" localSheetId="1" hidden="1">2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Optimizacion!$C$4:$N$7</definedName>
    <definedName name="solver_lhs2" localSheetId="1" hidden="1">Optimizacion!$C$8:$N$8</definedName>
    <definedName name="solver_lhs3" localSheetId="1" hidden="1">Optimizacion!$H$12:$K$23</definedName>
    <definedName name="solver_lhs4" localSheetId="1" hidden="1">Optimizacion!$H$12:$K$23</definedName>
    <definedName name="solver_lhs5" localSheetId="1" hidden="1">Optimizacion!$O$4:$O$7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5</definedName>
    <definedName name="solver_nwt" localSheetId="1" hidden="1">1</definedName>
    <definedName name="solver_opt" localSheetId="1" hidden="1">Optimizacion!$H$24</definedName>
    <definedName name="solver_pre" localSheetId="1" hidden="1">0.000001</definedName>
    <definedName name="solver_rbv" localSheetId="1" hidden="1">2</definedName>
    <definedName name="solver_rel1" localSheetId="1" hidden="1">5</definedName>
    <definedName name="solver_rel2" localSheetId="1" hidden="1">2</definedName>
    <definedName name="solver_rel3" localSheetId="1" hidden="1">1</definedName>
    <definedName name="solver_rel4" localSheetId="1" hidden="1">5</definedName>
    <definedName name="solver_rel5" localSheetId="1" hidden="1">2</definedName>
    <definedName name="solver_rhs1" localSheetId="1" hidden="1">"binario"</definedName>
    <definedName name="solver_rhs2" localSheetId="1" hidden="1">1</definedName>
    <definedName name="solver_rhs3" localSheetId="1" hidden="1">Optimizacion!$C$12:$F$23</definedName>
    <definedName name="solver_rhs4" localSheetId="1" hidden="1">"binario"</definedName>
    <definedName name="solver_rhs5" localSheetId="1" hidden="1">3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7" i="2" l="1"/>
  <c r="H24" i="2"/>
  <c r="M24" i="2"/>
  <c r="C14" i="2"/>
  <c r="D14" i="2"/>
  <c r="E14" i="2"/>
  <c r="F14" i="2"/>
  <c r="C15" i="2"/>
  <c r="D15" i="2"/>
  <c r="E15" i="2"/>
  <c r="F15" i="2"/>
  <c r="C16" i="2"/>
  <c r="D16" i="2"/>
  <c r="E16" i="2"/>
  <c r="F16" i="2"/>
  <c r="C17" i="2"/>
  <c r="D17" i="2"/>
  <c r="E17" i="2"/>
  <c r="F17" i="2"/>
  <c r="C18" i="2"/>
  <c r="D18" i="2"/>
  <c r="E18" i="2"/>
  <c r="F18" i="2"/>
  <c r="C19" i="2"/>
  <c r="D19" i="2"/>
  <c r="E19" i="2"/>
  <c r="F19" i="2"/>
  <c r="C20" i="2"/>
  <c r="D20" i="2"/>
  <c r="E20" i="2"/>
  <c r="F20" i="2"/>
  <c r="C21" i="2"/>
  <c r="D21" i="2"/>
  <c r="E21" i="2"/>
  <c r="F21" i="2"/>
  <c r="C22" i="2"/>
  <c r="D22" i="2"/>
  <c r="E22" i="2"/>
  <c r="F22" i="2"/>
  <c r="C23" i="2"/>
  <c r="D23" i="2"/>
  <c r="E23" i="2"/>
  <c r="F23" i="2"/>
  <c r="C13" i="2"/>
  <c r="D13" i="2"/>
  <c r="E13" i="2"/>
  <c r="F13" i="2"/>
  <c r="F12" i="2"/>
  <c r="E12" i="2"/>
  <c r="D12" i="2"/>
  <c r="C12" i="2"/>
  <c r="D8" i="2"/>
  <c r="E8" i="2"/>
  <c r="F8" i="2"/>
  <c r="G8" i="2"/>
  <c r="H8" i="2"/>
  <c r="I8" i="2"/>
  <c r="J8" i="2"/>
  <c r="K8" i="2"/>
  <c r="L8" i="2"/>
  <c r="M8" i="2"/>
  <c r="N8" i="2"/>
  <c r="C8" i="2"/>
  <c r="O7" i="2"/>
  <c r="O5" i="2"/>
  <c r="O6" i="2"/>
  <c r="O4" i="2"/>
  <c r="AH32" i="1"/>
  <c r="AG32" i="1"/>
  <c r="AG21" i="1"/>
  <c r="AG22" i="1"/>
  <c r="AG23" i="1"/>
  <c r="AG24" i="1"/>
  <c r="AG25" i="1"/>
  <c r="AG26" i="1"/>
  <c r="AG27" i="1"/>
  <c r="AG28" i="1"/>
  <c r="AG29" i="1"/>
  <c r="AG30" i="1"/>
  <c r="AG31" i="1"/>
  <c r="AG20" i="1"/>
  <c r="AF32" i="1"/>
  <c r="AF21" i="1"/>
  <c r="AF22" i="1"/>
  <c r="AF23" i="1"/>
  <c r="AF24" i="1"/>
  <c r="AF25" i="1"/>
  <c r="AF26" i="1"/>
  <c r="AF27" i="1"/>
  <c r="AF28" i="1"/>
  <c r="AF29" i="1"/>
  <c r="AF30" i="1"/>
  <c r="AF31" i="1"/>
  <c r="AF20" i="1"/>
  <c r="T32" i="1"/>
  <c r="AE31" i="1"/>
  <c r="AE30" i="1"/>
  <c r="AE29" i="1"/>
  <c r="AE28" i="1"/>
  <c r="AE27" i="1"/>
  <c r="AE26" i="1"/>
  <c r="AE25" i="1"/>
  <c r="AE24" i="1"/>
  <c r="AE23" i="1"/>
  <c r="X32" i="1" s="1"/>
  <c r="AE22" i="1"/>
  <c r="AE21" i="1"/>
  <c r="AE20" i="1"/>
  <c r="U32" i="1" s="1"/>
  <c r="N32" i="1"/>
  <c r="M32" i="1"/>
  <c r="L32" i="1"/>
  <c r="K32" i="1"/>
  <c r="J32" i="1"/>
  <c r="I32" i="1"/>
  <c r="H32" i="1"/>
  <c r="G32" i="1"/>
  <c r="F32" i="1"/>
  <c r="E32" i="1"/>
  <c r="D32" i="1"/>
  <c r="C32" i="1"/>
  <c r="AE15" i="1"/>
  <c r="AE14" i="1"/>
  <c r="AE13" i="1"/>
  <c r="AE12" i="1"/>
  <c r="AE11" i="1"/>
  <c r="AE10" i="1"/>
  <c r="AE9" i="1"/>
  <c r="AE8" i="1"/>
  <c r="AE7" i="1"/>
  <c r="S16" i="1" s="1"/>
  <c r="AE6" i="1"/>
  <c r="AE5" i="1"/>
  <c r="AE4" i="1"/>
  <c r="N16" i="1"/>
  <c r="C16" i="1"/>
  <c r="D16" i="1"/>
  <c r="E16" i="1"/>
  <c r="F16" i="1"/>
  <c r="G16" i="1"/>
  <c r="H16" i="1"/>
  <c r="I16" i="1"/>
  <c r="J16" i="1"/>
  <c r="K16" i="1"/>
  <c r="L16" i="1"/>
  <c r="M16" i="1"/>
  <c r="AA32" i="1" l="1"/>
  <c r="S32" i="1"/>
  <c r="AD32" i="1"/>
  <c r="AB32" i="1"/>
  <c r="AC32" i="1"/>
  <c r="O20" i="1"/>
  <c r="Z32" i="1"/>
  <c r="Y32" i="1"/>
  <c r="W32" i="1"/>
  <c r="V32" i="1"/>
  <c r="O28" i="1"/>
  <c r="O25" i="1"/>
  <c r="O24" i="1"/>
  <c r="O31" i="1"/>
  <c r="O30" i="1"/>
  <c r="O27" i="1"/>
  <c r="O26" i="1"/>
  <c r="O23" i="1"/>
  <c r="O21" i="1"/>
  <c r="O29" i="1"/>
  <c r="O22" i="1"/>
  <c r="T16" i="1"/>
  <c r="X16" i="1"/>
  <c r="V16" i="1"/>
  <c r="AB16" i="1"/>
  <c r="O11" i="1"/>
  <c r="AA16" i="1"/>
  <c r="Z16" i="1"/>
  <c r="W16" i="1"/>
  <c r="AC16" i="1"/>
  <c r="U16" i="1"/>
  <c r="O9" i="1"/>
  <c r="O14" i="1"/>
  <c r="O10" i="1"/>
  <c r="O8" i="1"/>
  <c r="Y16" i="1"/>
  <c r="O4" i="1"/>
  <c r="AD16" i="1"/>
  <c r="O13" i="1"/>
  <c r="O15" i="1"/>
  <c r="O12" i="1"/>
  <c r="O5" i="1"/>
  <c r="O6" i="1"/>
  <c r="O7" i="1"/>
</calcChain>
</file>

<file path=xl/sharedStrings.xml><?xml version="1.0" encoding="utf-8"?>
<sst xmlns="http://schemas.openxmlformats.org/spreadsheetml/2006/main" count="140" uniqueCount="34">
  <si>
    <t>Machine learning</t>
  </si>
  <si>
    <t>Tratamiento de aguas</t>
  </si>
  <si>
    <t>Transformación digital</t>
  </si>
  <si>
    <t>Big Data</t>
  </si>
  <si>
    <t>Realidad virtual y aumentada</t>
  </si>
  <si>
    <t>Gestión de Proyectos de Innovación</t>
  </si>
  <si>
    <t>Pricing</t>
  </si>
  <si>
    <t>Simulación</t>
  </si>
  <si>
    <t>Diseño de Marketplaces</t>
  </si>
  <si>
    <t>Green Supply Chains</t>
  </si>
  <si>
    <t>Sostenibilidad</t>
  </si>
  <si>
    <t>Planeación portuaria</t>
  </si>
  <si>
    <t>Agroindustria</t>
  </si>
  <si>
    <t>Minería</t>
  </si>
  <si>
    <t>Turismo</t>
  </si>
  <si>
    <t>Manufactura</t>
  </si>
  <si>
    <t>Producción Textil</t>
  </si>
  <si>
    <t>Sector Financiero</t>
  </si>
  <si>
    <t>Adm. Pública</t>
  </si>
  <si>
    <t>Energía</t>
  </si>
  <si>
    <t>Recursos forestales</t>
  </si>
  <si>
    <t>Transporte</t>
  </si>
  <si>
    <t>Industria Química</t>
  </si>
  <si>
    <t>Educación</t>
  </si>
  <si>
    <t xml:space="preserve">Parte </t>
  </si>
  <si>
    <t xml:space="preserve">Factor </t>
  </si>
  <si>
    <t>Asistencias perdidas</t>
  </si>
  <si>
    <t>8:00 am – 9:45 am</t>
  </si>
  <si>
    <t>10:00 am – 11:45 am</t>
  </si>
  <si>
    <t>2:00 pm – 3:45 pm</t>
  </si>
  <si>
    <t>4:00 pm – 5:45 pm</t>
  </si>
  <si>
    <t xml:space="preserve">Tematicas de interes por horario </t>
  </si>
  <si>
    <t>Variable binarias</t>
  </si>
  <si>
    <t xml:space="preserve">Mejora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</si>
</sst>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%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center" vertical="center"/>
    </xf>
    <xf numFmtId="169" fontId="0" fillId="3" borderId="0" xfId="1" applyNumberFormat="1" applyFont="1" applyFill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7EDF2-A756-4000-A513-9E0976080D47}">
  <dimension ref="A2:AH34"/>
  <sheetViews>
    <sheetView tabSelected="1" topLeftCell="M19" workbookViewId="0">
      <selection activeCell="AH32" sqref="AH32"/>
    </sheetView>
  </sheetViews>
  <sheetFormatPr baseColWidth="10" defaultRowHeight="15"/>
  <cols>
    <col min="1" max="1" width="11.42578125" style="1"/>
    <col min="2" max="2" width="18.28515625" style="1" bestFit="1" customWidth="1"/>
    <col min="3" max="14" width="11.7109375" style="1" customWidth="1"/>
    <col min="15" max="17" width="11.42578125" style="1"/>
    <col min="18" max="18" width="18.28515625" style="1" bestFit="1" customWidth="1"/>
    <col min="19" max="23" width="11.42578125" style="1"/>
    <col min="24" max="24" width="13.5703125" style="1" customWidth="1"/>
    <col min="25" max="26" width="11.42578125" style="1"/>
    <col min="27" max="28" width="13.85546875" style="1" customWidth="1"/>
    <col min="29" max="16384" width="11.42578125" style="1"/>
  </cols>
  <sheetData>
    <row r="2" spans="2:31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R2" s="6"/>
      <c r="S2" s="6">
        <v>1</v>
      </c>
      <c r="T2" s="6">
        <v>2</v>
      </c>
      <c r="U2" s="6">
        <v>3</v>
      </c>
      <c r="V2" s="6">
        <v>4</v>
      </c>
      <c r="W2" s="6">
        <v>5</v>
      </c>
      <c r="X2" s="6">
        <v>6</v>
      </c>
      <c r="Y2" s="6">
        <v>7</v>
      </c>
      <c r="Z2" s="6">
        <v>8</v>
      </c>
      <c r="AA2" s="6">
        <v>9</v>
      </c>
      <c r="AB2" s="6">
        <v>10</v>
      </c>
      <c r="AC2" s="6">
        <v>11</v>
      </c>
      <c r="AD2" s="6">
        <v>12</v>
      </c>
      <c r="AE2" s="6"/>
    </row>
    <row r="3" spans="2:31" ht="60">
      <c r="B3" s="2"/>
      <c r="C3" s="5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  <c r="M3" s="5" t="s">
        <v>10</v>
      </c>
      <c r="N3" s="5" t="s">
        <v>11</v>
      </c>
      <c r="O3" s="4" t="s">
        <v>25</v>
      </c>
      <c r="R3" s="2"/>
      <c r="S3" s="5" t="s">
        <v>9</v>
      </c>
      <c r="T3" s="5" t="s">
        <v>0</v>
      </c>
      <c r="U3" s="5" t="s">
        <v>3</v>
      </c>
      <c r="V3" s="5" t="s">
        <v>11</v>
      </c>
      <c r="W3" s="5" t="s">
        <v>6</v>
      </c>
      <c r="X3" s="5" t="s">
        <v>1</v>
      </c>
      <c r="Y3" s="5" t="s">
        <v>4</v>
      </c>
      <c r="Z3" s="5" t="s">
        <v>7</v>
      </c>
      <c r="AA3" s="5" t="s">
        <v>8</v>
      </c>
      <c r="AB3" s="5" t="s">
        <v>10</v>
      </c>
      <c r="AC3" s="5" t="s">
        <v>5</v>
      </c>
      <c r="AD3" s="5" t="s">
        <v>2</v>
      </c>
      <c r="AE3" s="3" t="s">
        <v>24</v>
      </c>
    </row>
    <row r="4" spans="2:31">
      <c r="B4" s="2" t="s">
        <v>12</v>
      </c>
      <c r="C4" s="2">
        <v>1</v>
      </c>
      <c r="D4" s="2">
        <v>1</v>
      </c>
      <c r="E4" s="2"/>
      <c r="F4" s="2">
        <v>1</v>
      </c>
      <c r="G4" s="2"/>
      <c r="H4" s="2"/>
      <c r="I4" s="2">
        <v>1</v>
      </c>
      <c r="J4" s="2"/>
      <c r="K4" s="2"/>
      <c r="L4" s="2">
        <v>1</v>
      </c>
      <c r="M4" s="2"/>
      <c r="N4" s="2">
        <v>1</v>
      </c>
      <c r="O4" s="4">
        <f>+SUMPRODUCT(C4:N4,$C$16:$N$16)</f>
        <v>3365</v>
      </c>
      <c r="Q4" s="1">
        <v>1</v>
      </c>
      <c r="R4" s="2" t="s">
        <v>12</v>
      </c>
      <c r="S4" s="2">
        <v>1</v>
      </c>
      <c r="T4" s="2">
        <v>1</v>
      </c>
      <c r="U4" s="2">
        <v>1</v>
      </c>
      <c r="V4" s="2">
        <v>1</v>
      </c>
      <c r="W4" s="2">
        <v>1</v>
      </c>
      <c r="X4" s="2">
        <v>1</v>
      </c>
      <c r="Y4" s="2"/>
      <c r="Z4" s="2"/>
      <c r="AA4" s="2"/>
      <c r="AB4" s="2"/>
      <c r="AC4" s="2"/>
      <c r="AD4" s="2"/>
      <c r="AE4" s="3">
        <f>2^(12-Q4)</f>
        <v>2048</v>
      </c>
    </row>
    <row r="5" spans="2:31">
      <c r="B5" s="2" t="s">
        <v>16</v>
      </c>
      <c r="C5" s="2">
        <v>1</v>
      </c>
      <c r="D5" s="2"/>
      <c r="E5" s="2"/>
      <c r="F5" s="2">
        <v>1</v>
      </c>
      <c r="G5" s="2">
        <v>1</v>
      </c>
      <c r="H5" s="2"/>
      <c r="I5" s="2"/>
      <c r="J5" s="2">
        <v>1</v>
      </c>
      <c r="K5" s="2">
        <v>1</v>
      </c>
      <c r="L5" s="2">
        <v>1</v>
      </c>
      <c r="M5" s="2"/>
      <c r="N5" s="2"/>
      <c r="O5" s="4">
        <f>+SUMPRODUCT(C5:N5,$C$16:$N$16)</f>
        <v>2460</v>
      </c>
      <c r="Q5" s="1">
        <v>2</v>
      </c>
      <c r="R5" s="2" t="s">
        <v>16</v>
      </c>
      <c r="S5" s="2">
        <v>1</v>
      </c>
      <c r="T5" s="2">
        <v>1</v>
      </c>
      <c r="U5" s="2">
        <v>1</v>
      </c>
      <c r="V5" s="2"/>
      <c r="W5" s="2"/>
      <c r="X5" s="2"/>
      <c r="Y5" s="2">
        <v>1</v>
      </c>
      <c r="Z5" s="2">
        <v>1</v>
      </c>
      <c r="AA5" s="2">
        <v>1</v>
      </c>
      <c r="AB5" s="2"/>
      <c r="AC5" s="2"/>
      <c r="AD5" s="2"/>
      <c r="AE5" s="3">
        <f>2^(12-Q5)</f>
        <v>1024</v>
      </c>
    </row>
    <row r="6" spans="2:31">
      <c r="B6" s="2" t="s">
        <v>21</v>
      </c>
      <c r="C6" s="2">
        <v>1</v>
      </c>
      <c r="D6" s="2"/>
      <c r="E6" s="2"/>
      <c r="F6" s="2">
        <v>1</v>
      </c>
      <c r="G6" s="2">
        <v>1</v>
      </c>
      <c r="H6" s="2"/>
      <c r="I6" s="2"/>
      <c r="J6" s="2"/>
      <c r="K6" s="2"/>
      <c r="L6" s="2">
        <v>1</v>
      </c>
      <c r="M6" s="2"/>
      <c r="N6" s="2">
        <v>1</v>
      </c>
      <c r="O6" s="4">
        <f>+SUMPRODUCT(C6:N6,$C$16:$N$16)</f>
        <v>2437</v>
      </c>
      <c r="Q6" s="1">
        <v>3</v>
      </c>
      <c r="R6" s="2" t="s">
        <v>21</v>
      </c>
      <c r="S6" s="2">
        <v>1</v>
      </c>
      <c r="T6" s="2">
        <v>1</v>
      </c>
      <c r="U6" s="2">
        <v>1</v>
      </c>
      <c r="V6" s="2">
        <v>1</v>
      </c>
      <c r="W6" s="2"/>
      <c r="X6" s="2"/>
      <c r="Y6" s="2">
        <v>1</v>
      </c>
      <c r="Z6" s="2"/>
      <c r="AA6" s="2"/>
      <c r="AB6" s="2"/>
      <c r="AC6" s="2"/>
      <c r="AD6" s="2"/>
      <c r="AE6" s="3">
        <f>2^(12-Q6)</f>
        <v>512</v>
      </c>
    </row>
    <row r="7" spans="2:31">
      <c r="B7" s="2" t="s">
        <v>19</v>
      </c>
      <c r="C7" s="2">
        <v>1</v>
      </c>
      <c r="D7" s="2"/>
      <c r="E7" s="2"/>
      <c r="F7" s="2"/>
      <c r="G7" s="2"/>
      <c r="H7" s="2"/>
      <c r="I7" s="2">
        <v>1</v>
      </c>
      <c r="J7" s="2"/>
      <c r="K7" s="2"/>
      <c r="L7" s="2">
        <v>1</v>
      </c>
      <c r="M7" s="2"/>
      <c r="N7" s="2"/>
      <c r="O7" s="4">
        <f>+SUMPRODUCT(C7:N7,$C$16:$N$16)</f>
        <v>2084</v>
      </c>
      <c r="Q7" s="1">
        <v>4</v>
      </c>
      <c r="R7" s="2" t="s">
        <v>19</v>
      </c>
      <c r="S7" s="2">
        <v>1</v>
      </c>
      <c r="T7" s="2">
        <v>1</v>
      </c>
      <c r="U7" s="2"/>
      <c r="V7" s="2"/>
      <c r="W7" s="2">
        <v>1</v>
      </c>
      <c r="X7" s="2"/>
      <c r="Y7" s="2"/>
      <c r="Z7" s="2"/>
      <c r="AA7" s="2"/>
      <c r="AB7" s="2"/>
      <c r="AC7" s="2"/>
      <c r="AD7" s="2"/>
      <c r="AE7" s="3">
        <f>2^(12-Q7)</f>
        <v>256</v>
      </c>
    </row>
    <row r="8" spans="2:31">
      <c r="B8" s="2" t="s">
        <v>13</v>
      </c>
      <c r="C8" s="2"/>
      <c r="D8" s="2">
        <v>1</v>
      </c>
      <c r="E8" s="2"/>
      <c r="F8" s="2"/>
      <c r="G8" s="2"/>
      <c r="H8" s="2">
        <v>1</v>
      </c>
      <c r="I8" s="2"/>
      <c r="J8" s="2">
        <v>1</v>
      </c>
      <c r="K8" s="2"/>
      <c r="L8" s="2"/>
      <c r="M8" s="2">
        <v>1</v>
      </c>
      <c r="N8" s="2"/>
      <c r="O8" s="4">
        <f>+SUMPRODUCT(C8:N8,$C$16:$N$16)</f>
        <v>1106</v>
      </c>
      <c r="Q8" s="1">
        <v>5</v>
      </c>
      <c r="R8" s="2" t="s">
        <v>13</v>
      </c>
      <c r="S8" s="2"/>
      <c r="T8" s="2"/>
      <c r="U8" s="2"/>
      <c r="V8" s="2"/>
      <c r="W8" s="2"/>
      <c r="X8" s="2">
        <v>1</v>
      </c>
      <c r="Y8" s="2"/>
      <c r="Z8" s="2">
        <v>1</v>
      </c>
      <c r="AA8" s="2"/>
      <c r="AB8" s="2">
        <v>1</v>
      </c>
      <c r="AC8" s="2">
        <v>1</v>
      </c>
      <c r="AD8" s="2"/>
      <c r="AE8" s="3">
        <f>2^(12-Q8)</f>
        <v>128</v>
      </c>
    </row>
    <row r="9" spans="2:31">
      <c r="B9" s="2" t="s">
        <v>20</v>
      </c>
      <c r="C9" s="2"/>
      <c r="D9" s="2">
        <v>1</v>
      </c>
      <c r="E9" s="2"/>
      <c r="F9" s="2"/>
      <c r="G9" s="2"/>
      <c r="H9" s="2">
        <v>1</v>
      </c>
      <c r="I9" s="2"/>
      <c r="J9" s="2"/>
      <c r="K9" s="2"/>
      <c r="L9" s="2"/>
      <c r="M9" s="2">
        <v>1</v>
      </c>
      <c r="N9" s="2"/>
      <c r="O9" s="4">
        <f>+SUMPRODUCT(C9:N9,$C$16:$N$16)</f>
        <v>1090</v>
      </c>
      <c r="Q9" s="1">
        <v>6</v>
      </c>
      <c r="R9" s="2" t="s">
        <v>20</v>
      </c>
      <c r="S9" s="2"/>
      <c r="T9" s="2"/>
      <c r="U9" s="2"/>
      <c r="V9" s="2"/>
      <c r="W9" s="2"/>
      <c r="X9" s="2">
        <v>1</v>
      </c>
      <c r="Y9" s="2"/>
      <c r="Z9" s="2"/>
      <c r="AA9" s="2"/>
      <c r="AB9" s="2">
        <v>1</v>
      </c>
      <c r="AC9" s="2">
        <v>1</v>
      </c>
      <c r="AD9" s="2"/>
      <c r="AE9" s="3">
        <f>2^(12-Q9)</f>
        <v>64</v>
      </c>
    </row>
    <row r="10" spans="2:31">
      <c r="B10" s="2" t="s">
        <v>14</v>
      </c>
      <c r="C10" s="2"/>
      <c r="D10" s="2"/>
      <c r="E10" s="2">
        <v>1</v>
      </c>
      <c r="F10" s="2"/>
      <c r="G10" s="2">
        <v>1</v>
      </c>
      <c r="H10" s="2"/>
      <c r="I10" s="2"/>
      <c r="J10" s="2">
        <v>1</v>
      </c>
      <c r="K10" s="2">
        <v>1</v>
      </c>
      <c r="L10" s="2"/>
      <c r="M10" s="2">
        <v>1</v>
      </c>
      <c r="N10" s="2"/>
      <c r="O10" s="4">
        <f>+SUMPRODUCT(C10:N10,$C$16:$N$16)</f>
        <v>666</v>
      </c>
      <c r="Q10" s="1">
        <v>7</v>
      </c>
      <c r="R10" s="2" t="s">
        <v>14</v>
      </c>
      <c r="S10" s="2"/>
      <c r="T10" s="2"/>
      <c r="U10" s="2"/>
      <c r="V10" s="2"/>
      <c r="W10" s="2"/>
      <c r="X10" s="2"/>
      <c r="Y10" s="2">
        <v>1</v>
      </c>
      <c r="Z10" s="2">
        <v>1</v>
      </c>
      <c r="AA10" s="2">
        <v>1</v>
      </c>
      <c r="AB10" s="2">
        <v>1</v>
      </c>
      <c r="AC10" s="2"/>
      <c r="AD10" s="2">
        <v>1</v>
      </c>
      <c r="AE10" s="3">
        <f>2^(12-Q10)</f>
        <v>32</v>
      </c>
    </row>
    <row r="11" spans="2:31">
      <c r="B11" s="2" t="s">
        <v>23</v>
      </c>
      <c r="C11" s="2"/>
      <c r="D11" s="2"/>
      <c r="E11" s="2">
        <v>1</v>
      </c>
      <c r="F11" s="2"/>
      <c r="G11" s="2">
        <v>1</v>
      </c>
      <c r="H11" s="2"/>
      <c r="I11" s="2"/>
      <c r="J11" s="2"/>
      <c r="K11" s="2"/>
      <c r="L11" s="2"/>
      <c r="M11" s="2"/>
      <c r="N11" s="2"/>
      <c r="O11" s="4">
        <f>+SUMPRODUCT(C11:N11,$C$16:$N$16)</f>
        <v>640</v>
      </c>
      <c r="Q11" s="1">
        <v>8</v>
      </c>
      <c r="R11" s="2" t="s">
        <v>23</v>
      </c>
      <c r="S11" s="2"/>
      <c r="T11" s="2"/>
      <c r="U11" s="2"/>
      <c r="V11" s="2"/>
      <c r="W11" s="2"/>
      <c r="X11" s="2"/>
      <c r="Y11" s="2">
        <v>1</v>
      </c>
      <c r="Z11" s="2"/>
      <c r="AA11" s="2"/>
      <c r="AB11" s="2"/>
      <c r="AC11" s="2"/>
      <c r="AD11" s="2">
        <v>1</v>
      </c>
      <c r="AE11" s="3">
        <f>2^(12-Q11)</f>
        <v>16</v>
      </c>
    </row>
    <row r="12" spans="2:31">
      <c r="B12" s="2" t="s">
        <v>17</v>
      </c>
      <c r="C12" s="2"/>
      <c r="D12" s="2"/>
      <c r="E12" s="2">
        <v>1</v>
      </c>
      <c r="F12" s="2"/>
      <c r="G12" s="2"/>
      <c r="H12" s="2"/>
      <c r="I12" s="2"/>
      <c r="J12" s="2">
        <v>1</v>
      </c>
      <c r="K12" s="2"/>
      <c r="L12" s="2"/>
      <c r="M12" s="2"/>
      <c r="N12" s="2"/>
      <c r="O12" s="4">
        <f>+SUMPRODUCT(C12:N12,$C$16:$N$16)</f>
        <v>528</v>
      </c>
      <c r="Q12" s="1">
        <v>9</v>
      </c>
      <c r="R12" s="2" t="s">
        <v>17</v>
      </c>
      <c r="S12" s="2"/>
      <c r="T12" s="2"/>
      <c r="U12" s="2"/>
      <c r="V12" s="2"/>
      <c r="W12" s="2"/>
      <c r="X12" s="2"/>
      <c r="Y12" s="2"/>
      <c r="Z12" s="2">
        <v>1</v>
      </c>
      <c r="AA12" s="2"/>
      <c r="AB12" s="2"/>
      <c r="AC12" s="2"/>
      <c r="AD12" s="2">
        <v>1</v>
      </c>
      <c r="AE12" s="3">
        <f>2^(12-Q12)</f>
        <v>8</v>
      </c>
    </row>
    <row r="13" spans="2:31">
      <c r="B13" s="2" t="s">
        <v>18</v>
      </c>
      <c r="C13" s="2"/>
      <c r="D13" s="2"/>
      <c r="E13" s="2">
        <v>1</v>
      </c>
      <c r="F13" s="2"/>
      <c r="G13" s="2"/>
      <c r="H13" s="2"/>
      <c r="I13" s="2"/>
      <c r="J13" s="2"/>
      <c r="K13" s="2"/>
      <c r="L13" s="2"/>
      <c r="M13" s="2"/>
      <c r="N13" s="2"/>
      <c r="O13" s="4">
        <f>+SUMPRODUCT(C13:N13,$C$16:$N$16)</f>
        <v>512</v>
      </c>
      <c r="Q13" s="1">
        <v>10</v>
      </c>
      <c r="R13" s="2" t="s">
        <v>18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>
        <v>1</v>
      </c>
      <c r="AE13" s="3">
        <f>2^(12-Q13)</f>
        <v>4</v>
      </c>
    </row>
    <row r="14" spans="2:31">
      <c r="B14" s="2" t="s">
        <v>15</v>
      </c>
      <c r="C14" s="2"/>
      <c r="D14" s="2"/>
      <c r="E14" s="2"/>
      <c r="F14" s="2"/>
      <c r="G14" s="2">
        <v>1</v>
      </c>
      <c r="H14" s="2">
        <v>1</v>
      </c>
      <c r="I14" s="2"/>
      <c r="J14" s="2">
        <v>1</v>
      </c>
      <c r="K14" s="2">
        <v>1</v>
      </c>
      <c r="L14" s="2">
        <v>1</v>
      </c>
      <c r="M14" s="2"/>
      <c r="N14" s="2"/>
      <c r="O14" s="4">
        <f>+SUMPRODUCT(C14:N14,$C$16:$N$16)</f>
        <v>220</v>
      </c>
      <c r="Q14" s="1">
        <v>11</v>
      </c>
      <c r="R14" s="2" t="s">
        <v>15</v>
      </c>
      <c r="S14" s="2">
        <v>1</v>
      </c>
      <c r="T14" s="2"/>
      <c r="U14" s="2"/>
      <c r="V14" s="2"/>
      <c r="W14" s="2"/>
      <c r="X14" s="2"/>
      <c r="Y14" s="2">
        <v>1</v>
      </c>
      <c r="Z14" s="2">
        <v>1</v>
      </c>
      <c r="AA14" s="2">
        <v>1</v>
      </c>
      <c r="AB14" s="2"/>
      <c r="AC14" s="2">
        <v>1</v>
      </c>
      <c r="AD14" s="2"/>
      <c r="AE14" s="3">
        <f>2^(12-Q14)</f>
        <v>2</v>
      </c>
    </row>
    <row r="15" spans="2:31">
      <c r="B15" s="2" t="s">
        <v>22</v>
      </c>
      <c r="C15" s="2"/>
      <c r="D15" s="2"/>
      <c r="E15" s="2"/>
      <c r="F15" s="2"/>
      <c r="G15" s="2"/>
      <c r="H15" s="2"/>
      <c r="I15" s="2"/>
      <c r="J15" s="2"/>
      <c r="K15" s="2"/>
      <c r="L15" s="2">
        <v>1</v>
      </c>
      <c r="M15" s="2"/>
      <c r="N15" s="2"/>
      <c r="O15" s="4">
        <f>+SUMPRODUCT(C15:N15,$C$16:$N$16)</f>
        <v>4</v>
      </c>
      <c r="Q15" s="1">
        <v>12</v>
      </c>
      <c r="R15" s="2" t="s">
        <v>22</v>
      </c>
      <c r="S15" s="2">
        <v>1</v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3">
        <f>2^(12-Q15)</f>
        <v>1</v>
      </c>
    </row>
    <row r="16" spans="2:31">
      <c r="B16" s="3" t="s">
        <v>24</v>
      </c>
      <c r="C16" s="3">
        <f>2^(12-C2)</f>
        <v>2048</v>
      </c>
      <c r="D16" s="3">
        <f>2^(12-D2)</f>
        <v>1024</v>
      </c>
      <c r="E16" s="3">
        <f>2^(12-E2)</f>
        <v>512</v>
      </c>
      <c r="F16" s="3">
        <f>2^(12-F2)</f>
        <v>256</v>
      </c>
      <c r="G16" s="3">
        <f>2^(12-G2)</f>
        <v>128</v>
      </c>
      <c r="H16" s="3">
        <f>2^(12-H2)</f>
        <v>64</v>
      </c>
      <c r="I16" s="3">
        <f>2^(12-I2)</f>
        <v>32</v>
      </c>
      <c r="J16" s="3">
        <f>2^(12-J2)</f>
        <v>16</v>
      </c>
      <c r="K16" s="3">
        <f>2^(12-K2)</f>
        <v>8</v>
      </c>
      <c r="L16" s="3">
        <f>2^(12-L2)</f>
        <v>4</v>
      </c>
      <c r="M16" s="3">
        <f>2^(12-M2)</f>
        <v>2</v>
      </c>
      <c r="N16" s="3">
        <f>2^(12-N2)</f>
        <v>1</v>
      </c>
      <c r="R16" s="4" t="s">
        <v>25</v>
      </c>
      <c r="S16" s="4">
        <f>+SUMPRODUCT(S4:S15,$AE$4:$AE$15)</f>
        <v>3843</v>
      </c>
      <c r="T16" s="4">
        <f>+SUMPRODUCT(T4:T15,$AE$4:$AE$15)</f>
        <v>3840</v>
      </c>
      <c r="U16" s="4">
        <f>+SUMPRODUCT(U4:U15,$AE$4:$AE$15)</f>
        <v>3584</v>
      </c>
      <c r="V16" s="4">
        <f>+SUMPRODUCT(V4:V15,$AE$4:$AE$15)</f>
        <v>2560</v>
      </c>
      <c r="W16" s="4">
        <f>+SUMPRODUCT(W4:W15,$AE$4:$AE$15)</f>
        <v>2304</v>
      </c>
      <c r="X16" s="4">
        <f>+SUMPRODUCT(X4:X15,$AE$4:$AE$15)</f>
        <v>2240</v>
      </c>
      <c r="Y16" s="4">
        <f>+SUMPRODUCT(Y4:Y15,$AE$4:$AE$15)</f>
        <v>1586</v>
      </c>
      <c r="Z16" s="4">
        <f>+SUMPRODUCT(Z4:Z15,$AE$4:$AE$15)</f>
        <v>1194</v>
      </c>
      <c r="AA16" s="4">
        <f>+SUMPRODUCT(AA4:AA15,$AE$4:$AE$15)</f>
        <v>1058</v>
      </c>
      <c r="AB16" s="4">
        <f>+SUMPRODUCT(AB4:AB15,$AE$4:$AE$15)</f>
        <v>224</v>
      </c>
      <c r="AC16" s="4">
        <f>+SUMPRODUCT(AC4:AC15,$AE$4:$AE$15)</f>
        <v>194</v>
      </c>
      <c r="AD16" s="4">
        <f>+SUMPRODUCT(AD4:AD15,$AE$4:$AE$15)</f>
        <v>60</v>
      </c>
      <c r="AE16" s="6"/>
    </row>
    <row r="18" spans="1:34" ht="15.75" thickBot="1">
      <c r="B18" s="6"/>
      <c r="C18" s="6">
        <v>1</v>
      </c>
      <c r="D18" s="6">
        <v>2</v>
      </c>
      <c r="E18" s="6">
        <v>3</v>
      </c>
      <c r="F18" s="6">
        <v>4</v>
      </c>
      <c r="G18" s="6">
        <v>5</v>
      </c>
      <c r="H18" s="6">
        <v>6</v>
      </c>
      <c r="I18" s="6">
        <v>7</v>
      </c>
      <c r="J18" s="6">
        <v>8</v>
      </c>
      <c r="K18" s="6">
        <v>9</v>
      </c>
      <c r="L18" s="6">
        <v>10</v>
      </c>
      <c r="M18" s="6">
        <v>11</v>
      </c>
      <c r="N18" s="6">
        <v>12</v>
      </c>
      <c r="O18" s="6"/>
      <c r="R18" s="6"/>
      <c r="S18" s="6">
        <v>1</v>
      </c>
      <c r="T18" s="6">
        <v>2</v>
      </c>
      <c r="U18" s="6">
        <v>3</v>
      </c>
      <c r="V18" s="6">
        <v>4</v>
      </c>
      <c r="W18" s="6">
        <v>5</v>
      </c>
      <c r="X18" s="6">
        <v>6</v>
      </c>
      <c r="Y18" s="6">
        <v>7</v>
      </c>
      <c r="Z18" s="6">
        <v>8</v>
      </c>
      <c r="AA18" s="6">
        <v>9</v>
      </c>
      <c r="AB18" s="6">
        <v>10</v>
      </c>
      <c r="AC18" s="6">
        <v>11</v>
      </c>
      <c r="AD18" s="6">
        <v>12</v>
      </c>
      <c r="AE18" s="6"/>
    </row>
    <row r="19" spans="1:34" ht="60">
      <c r="B19" s="2"/>
      <c r="C19" s="5" t="s">
        <v>9</v>
      </c>
      <c r="D19" s="5" t="s">
        <v>0</v>
      </c>
      <c r="E19" s="5" t="s">
        <v>3</v>
      </c>
      <c r="F19" s="5" t="s">
        <v>11</v>
      </c>
      <c r="G19" s="5" t="s">
        <v>6</v>
      </c>
      <c r="H19" s="5" t="s">
        <v>1</v>
      </c>
      <c r="I19" s="5" t="s">
        <v>4</v>
      </c>
      <c r="J19" s="5" t="s">
        <v>7</v>
      </c>
      <c r="K19" s="5" t="s">
        <v>8</v>
      </c>
      <c r="L19" s="5" t="s">
        <v>10</v>
      </c>
      <c r="M19" s="5" t="s">
        <v>5</v>
      </c>
      <c r="N19" s="5" t="s">
        <v>2</v>
      </c>
      <c r="O19" s="4" t="s">
        <v>25</v>
      </c>
      <c r="R19" s="7"/>
      <c r="S19" s="10" t="s">
        <v>9</v>
      </c>
      <c r="T19" s="11" t="s">
        <v>0</v>
      </c>
      <c r="U19" s="12" t="s">
        <v>3</v>
      </c>
      <c r="V19" s="10" t="s">
        <v>11</v>
      </c>
      <c r="W19" s="11" t="s">
        <v>6</v>
      </c>
      <c r="X19" s="12" t="s">
        <v>1</v>
      </c>
      <c r="Y19" s="10" t="s">
        <v>4</v>
      </c>
      <c r="Z19" s="11" t="s">
        <v>7</v>
      </c>
      <c r="AA19" s="12" t="s">
        <v>8</v>
      </c>
      <c r="AB19" s="10" t="s">
        <v>5</v>
      </c>
      <c r="AC19" s="11" t="s">
        <v>10</v>
      </c>
      <c r="AD19" s="12" t="s">
        <v>2</v>
      </c>
      <c r="AE19" s="18" t="s">
        <v>24</v>
      </c>
      <c r="AF19" s="19" t="s">
        <v>26</v>
      </c>
    </row>
    <row r="20" spans="1:34">
      <c r="A20" s="1">
        <v>1</v>
      </c>
      <c r="B20" s="5" t="s">
        <v>12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2"/>
      <c r="J20" s="2"/>
      <c r="K20" s="2"/>
      <c r="L20" s="2"/>
      <c r="M20" s="2"/>
      <c r="N20" s="2"/>
      <c r="O20" s="4">
        <f>+SUMPRODUCT(C20:N20,$C$32:$N$32)</f>
        <v>4032</v>
      </c>
      <c r="Q20" s="1">
        <v>1</v>
      </c>
      <c r="R20" s="8" t="s">
        <v>12</v>
      </c>
      <c r="S20" s="13">
        <v>1</v>
      </c>
      <c r="T20" s="2">
        <v>1</v>
      </c>
      <c r="U20" s="14">
        <v>1</v>
      </c>
      <c r="V20" s="13">
        <v>1</v>
      </c>
      <c r="W20" s="2">
        <v>1</v>
      </c>
      <c r="X20" s="14">
        <v>1</v>
      </c>
      <c r="Y20" s="13"/>
      <c r="Z20" s="2"/>
      <c r="AA20" s="14"/>
      <c r="AB20" s="13"/>
      <c r="AC20" s="2"/>
      <c r="AD20" s="14"/>
      <c r="AE20" s="18">
        <f>2^(12-Q20)</f>
        <v>2048</v>
      </c>
      <c r="AF20" s="1">
        <f>MAX(0,SUM(S20:U20)-1)+MAX(0,SUM(V20:X20)-1)+MAX(0,SUM(Y20:AA20)-1)+MAX(0,SUM(AB20:AD20)-1)</f>
        <v>4</v>
      </c>
      <c r="AG20" s="1">
        <f>+SUM(S20:AD20)</f>
        <v>6</v>
      </c>
    </row>
    <row r="21" spans="1:34">
      <c r="A21" s="1">
        <v>2</v>
      </c>
      <c r="B21" s="5" t="s">
        <v>21</v>
      </c>
      <c r="C21" s="2">
        <v>1</v>
      </c>
      <c r="D21" s="2">
        <v>1</v>
      </c>
      <c r="E21" s="2">
        <v>1</v>
      </c>
      <c r="F21" s="2">
        <v>1</v>
      </c>
      <c r="G21" s="2"/>
      <c r="H21" s="2"/>
      <c r="I21" s="2">
        <v>1</v>
      </c>
      <c r="J21" s="2"/>
      <c r="K21" s="2"/>
      <c r="L21" s="2"/>
      <c r="M21" s="2"/>
      <c r="N21" s="2"/>
      <c r="O21" s="4">
        <f>+SUMPRODUCT(C21:N21,$C$32:$N$32)</f>
        <v>3872</v>
      </c>
      <c r="Q21" s="1">
        <v>2</v>
      </c>
      <c r="R21" s="8" t="s">
        <v>21</v>
      </c>
      <c r="S21" s="13">
        <v>1</v>
      </c>
      <c r="T21" s="2">
        <v>1</v>
      </c>
      <c r="U21" s="14">
        <v>1</v>
      </c>
      <c r="V21" s="13">
        <v>1</v>
      </c>
      <c r="W21" s="2"/>
      <c r="X21" s="14"/>
      <c r="Y21" s="13">
        <v>1</v>
      </c>
      <c r="Z21" s="2"/>
      <c r="AA21" s="14"/>
      <c r="AB21" s="13"/>
      <c r="AC21" s="2"/>
      <c r="AD21" s="14"/>
      <c r="AE21" s="18">
        <f>2^(12-Q21)</f>
        <v>1024</v>
      </c>
      <c r="AF21" s="1">
        <f t="shared" ref="AF21:AF32" si="0">MAX(0,SUM(S21:U21)-1)+MAX(0,SUM(V21:X21)-1)+MAX(0,SUM(Y21:AA21)-1)+MAX(0,SUM(AB21:AD21)-1)</f>
        <v>2</v>
      </c>
      <c r="AG21" s="1">
        <f t="shared" ref="AG21:AG31" si="1">+SUM(S21:AD21)</f>
        <v>5</v>
      </c>
    </row>
    <row r="22" spans="1:34">
      <c r="A22" s="1">
        <v>3</v>
      </c>
      <c r="B22" s="5" t="s">
        <v>16</v>
      </c>
      <c r="C22" s="2">
        <v>1</v>
      </c>
      <c r="D22" s="2">
        <v>1</v>
      </c>
      <c r="E22" s="2">
        <v>1</v>
      </c>
      <c r="F22" s="2"/>
      <c r="G22" s="2"/>
      <c r="H22" s="2"/>
      <c r="I22" s="2">
        <v>1</v>
      </c>
      <c r="J22" s="2">
        <v>1</v>
      </c>
      <c r="K22" s="2">
        <v>1</v>
      </c>
      <c r="L22" s="2"/>
      <c r="M22" s="2"/>
      <c r="N22" s="2"/>
      <c r="O22" s="4">
        <f>+SUMPRODUCT(C22:N22,$C$32:$N$32)</f>
        <v>3640</v>
      </c>
      <c r="Q22" s="1">
        <v>3</v>
      </c>
      <c r="R22" s="8" t="s">
        <v>16</v>
      </c>
      <c r="S22" s="13">
        <v>1</v>
      </c>
      <c r="T22" s="2">
        <v>1</v>
      </c>
      <c r="U22" s="14">
        <v>1</v>
      </c>
      <c r="V22" s="13"/>
      <c r="W22" s="2"/>
      <c r="X22" s="14"/>
      <c r="Y22" s="13">
        <v>1</v>
      </c>
      <c r="Z22" s="2">
        <v>1</v>
      </c>
      <c r="AA22" s="14">
        <v>1</v>
      </c>
      <c r="AB22" s="13"/>
      <c r="AC22" s="2"/>
      <c r="AD22" s="14"/>
      <c r="AE22" s="18">
        <f>2^(12-Q22)</f>
        <v>512</v>
      </c>
      <c r="AF22" s="1">
        <f t="shared" si="0"/>
        <v>4</v>
      </c>
      <c r="AG22" s="1">
        <f t="shared" si="1"/>
        <v>6</v>
      </c>
    </row>
    <row r="23" spans="1:34">
      <c r="A23" s="1">
        <v>4</v>
      </c>
      <c r="B23" s="5" t="s">
        <v>19</v>
      </c>
      <c r="C23" s="2">
        <v>1</v>
      </c>
      <c r="D23" s="2">
        <v>1</v>
      </c>
      <c r="E23" s="2"/>
      <c r="F23" s="2"/>
      <c r="G23" s="2">
        <v>1</v>
      </c>
      <c r="H23" s="2"/>
      <c r="I23" s="2"/>
      <c r="J23" s="2"/>
      <c r="K23" s="2"/>
      <c r="L23" s="2"/>
      <c r="M23" s="2"/>
      <c r="N23" s="2"/>
      <c r="O23" s="4">
        <f>+SUMPRODUCT(C23:N23,$C$32:$N$32)</f>
        <v>3200</v>
      </c>
      <c r="Q23" s="1">
        <v>4</v>
      </c>
      <c r="R23" s="8" t="s">
        <v>19</v>
      </c>
      <c r="S23" s="13">
        <v>1</v>
      </c>
      <c r="T23" s="2">
        <v>1</v>
      </c>
      <c r="U23" s="14"/>
      <c r="V23" s="13"/>
      <c r="W23" s="2">
        <v>1</v>
      </c>
      <c r="X23" s="14"/>
      <c r="Y23" s="13"/>
      <c r="Z23" s="2"/>
      <c r="AA23" s="14"/>
      <c r="AB23" s="13"/>
      <c r="AC23" s="2"/>
      <c r="AD23" s="14"/>
      <c r="AE23" s="18">
        <f>2^(12-Q23)</f>
        <v>256</v>
      </c>
      <c r="AF23" s="1">
        <f t="shared" si="0"/>
        <v>1</v>
      </c>
      <c r="AG23" s="1">
        <f t="shared" si="1"/>
        <v>3</v>
      </c>
    </row>
    <row r="24" spans="1:34">
      <c r="A24" s="1">
        <v>5</v>
      </c>
      <c r="B24" s="5" t="s">
        <v>15</v>
      </c>
      <c r="C24" s="2">
        <v>1</v>
      </c>
      <c r="D24" s="2"/>
      <c r="E24" s="2"/>
      <c r="F24" s="2"/>
      <c r="G24" s="2"/>
      <c r="H24" s="2"/>
      <c r="I24" s="2">
        <v>1</v>
      </c>
      <c r="J24" s="2">
        <v>1</v>
      </c>
      <c r="K24" s="2">
        <v>1</v>
      </c>
      <c r="L24" s="2"/>
      <c r="M24" s="2">
        <v>1</v>
      </c>
      <c r="N24" s="2"/>
      <c r="O24" s="4">
        <f>+SUMPRODUCT(C24:N24,$C$32:$N$32)</f>
        <v>2106</v>
      </c>
      <c r="Q24" s="1">
        <v>5</v>
      </c>
      <c r="R24" s="8" t="s">
        <v>15</v>
      </c>
      <c r="S24" s="13">
        <v>1</v>
      </c>
      <c r="T24" s="2"/>
      <c r="U24" s="14"/>
      <c r="V24" s="13"/>
      <c r="W24" s="2"/>
      <c r="X24" s="14"/>
      <c r="Y24" s="13">
        <v>1</v>
      </c>
      <c r="Z24" s="2">
        <v>1</v>
      </c>
      <c r="AA24" s="14">
        <v>1</v>
      </c>
      <c r="AB24" s="13">
        <v>1</v>
      </c>
      <c r="AC24" s="2"/>
      <c r="AD24" s="14"/>
      <c r="AE24" s="18">
        <f>2^(12-Q24)</f>
        <v>128</v>
      </c>
      <c r="AF24" s="1">
        <f t="shared" si="0"/>
        <v>2</v>
      </c>
      <c r="AG24" s="1">
        <f t="shared" si="1"/>
        <v>5</v>
      </c>
    </row>
    <row r="25" spans="1:34">
      <c r="A25" s="1">
        <v>6</v>
      </c>
      <c r="B25" s="5" t="s">
        <v>22</v>
      </c>
      <c r="C25" s="2">
        <v>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4">
        <f>+SUMPRODUCT(C25:N25,$C$32:$N$32)</f>
        <v>2048</v>
      </c>
      <c r="Q25" s="1">
        <v>6</v>
      </c>
      <c r="R25" s="8" t="s">
        <v>22</v>
      </c>
      <c r="S25" s="13">
        <v>1</v>
      </c>
      <c r="T25" s="2"/>
      <c r="U25" s="14"/>
      <c r="V25" s="13"/>
      <c r="W25" s="2"/>
      <c r="X25" s="14"/>
      <c r="Y25" s="13"/>
      <c r="Z25" s="2"/>
      <c r="AA25" s="14"/>
      <c r="AB25" s="13"/>
      <c r="AC25" s="2"/>
      <c r="AD25" s="14"/>
      <c r="AE25" s="18">
        <f>2^(12-Q25)</f>
        <v>64</v>
      </c>
      <c r="AF25" s="1">
        <f t="shared" si="0"/>
        <v>0</v>
      </c>
      <c r="AG25" s="1">
        <f t="shared" si="1"/>
        <v>1</v>
      </c>
    </row>
    <row r="26" spans="1:34">
      <c r="A26" s="1">
        <v>7</v>
      </c>
      <c r="B26" s="5" t="s">
        <v>13</v>
      </c>
      <c r="C26" s="2"/>
      <c r="D26" s="2"/>
      <c r="E26" s="2"/>
      <c r="F26" s="2"/>
      <c r="G26" s="2"/>
      <c r="H26" s="2">
        <v>1</v>
      </c>
      <c r="I26" s="2"/>
      <c r="J26" s="2">
        <v>1</v>
      </c>
      <c r="K26" s="2"/>
      <c r="L26" s="2">
        <v>1</v>
      </c>
      <c r="M26" s="2">
        <v>1</v>
      </c>
      <c r="N26" s="2"/>
      <c r="O26" s="4">
        <f>+SUMPRODUCT(C26:N26,$C$32:$N$32)</f>
        <v>86</v>
      </c>
      <c r="Q26" s="1">
        <v>7</v>
      </c>
      <c r="R26" s="8" t="s">
        <v>13</v>
      </c>
      <c r="S26" s="13"/>
      <c r="T26" s="2"/>
      <c r="U26" s="14"/>
      <c r="V26" s="13"/>
      <c r="W26" s="2"/>
      <c r="X26" s="14">
        <v>1</v>
      </c>
      <c r="Y26" s="13"/>
      <c r="Z26" s="2">
        <v>1</v>
      </c>
      <c r="AA26" s="14"/>
      <c r="AB26" s="13">
        <v>1</v>
      </c>
      <c r="AC26" s="2">
        <v>1</v>
      </c>
      <c r="AD26" s="14"/>
      <c r="AE26" s="18">
        <f>2^(12-Q26)</f>
        <v>32</v>
      </c>
      <c r="AF26" s="1">
        <f t="shared" si="0"/>
        <v>1</v>
      </c>
      <c r="AG26" s="1">
        <f t="shared" si="1"/>
        <v>4</v>
      </c>
    </row>
    <row r="27" spans="1:34">
      <c r="A27" s="1">
        <v>8</v>
      </c>
      <c r="B27" s="5" t="s">
        <v>20</v>
      </c>
      <c r="C27" s="2"/>
      <c r="D27" s="2"/>
      <c r="E27" s="2"/>
      <c r="F27" s="2"/>
      <c r="G27" s="2"/>
      <c r="H27" s="2">
        <v>1</v>
      </c>
      <c r="I27" s="2"/>
      <c r="J27" s="2"/>
      <c r="K27" s="2"/>
      <c r="L27" s="2">
        <v>1</v>
      </c>
      <c r="M27" s="2">
        <v>1</v>
      </c>
      <c r="N27" s="2"/>
      <c r="O27" s="4">
        <f>+SUMPRODUCT(C27:N27,$C$32:$N$32)</f>
        <v>70</v>
      </c>
      <c r="Q27" s="1">
        <v>8</v>
      </c>
      <c r="R27" s="8" t="s">
        <v>20</v>
      </c>
      <c r="S27" s="13"/>
      <c r="T27" s="2"/>
      <c r="U27" s="14"/>
      <c r="V27" s="13"/>
      <c r="W27" s="2"/>
      <c r="X27" s="14">
        <v>1</v>
      </c>
      <c r="Y27" s="13"/>
      <c r="Z27" s="2"/>
      <c r="AA27" s="14"/>
      <c r="AB27" s="13">
        <v>1</v>
      </c>
      <c r="AC27" s="2">
        <v>1</v>
      </c>
      <c r="AD27" s="14"/>
      <c r="AE27" s="18">
        <f>2^(12-Q27)</f>
        <v>16</v>
      </c>
      <c r="AF27" s="1">
        <f t="shared" si="0"/>
        <v>1</v>
      </c>
      <c r="AG27" s="1">
        <f t="shared" si="1"/>
        <v>3</v>
      </c>
    </row>
    <row r="28" spans="1:34">
      <c r="A28" s="1">
        <v>9</v>
      </c>
      <c r="B28" s="5" t="s">
        <v>14</v>
      </c>
      <c r="C28" s="2"/>
      <c r="D28" s="2"/>
      <c r="E28" s="2"/>
      <c r="F28" s="2"/>
      <c r="G28" s="2"/>
      <c r="H28" s="2"/>
      <c r="I28" s="2">
        <v>1</v>
      </c>
      <c r="J28" s="2">
        <v>1</v>
      </c>
      <c r="K28" s="2">
        <v>1</v>
      </c>
      <c r="L28" s="2">
        <v>1</v>
      </c>
      <c r="M28" s="2"/>
      <c r="N28" s="2">
        <v>1</v>
      </c>
      <c r="O28" s="4">
        <f>+SUMPRODUCT(C28:N28,$C$32:$N$32)</f>
        <v>61</v>
      </c>
      <c r="Q28" s="1">
        <v>9</v>
      </c>
      <c r="R28" s="8" t="s">
        <v>14</v>
      </c>
      <c r="S28" s="13"/>
      <c r="T28" s="2"/>
      <c r="U28" s="14"/>
      <c r="V28" s="13"/>
      <c r="W28" s="2"/>
      <c r="X28" s="14"/>
      <c r="Y28" s="13">
        <v>1</v>
      </c>
      <c r="Z28" s="2">
        <v>1</v>
      </c>
      <c r="AA28" s="14">
        <v>1</v>
      </c>
      <c r="AB28" s="13"/>
      <c r="AC28" s="2">
        <v>1</v>
      </c>
      <c r="AD28" s="14">
        <v>1</v>
      </c>
      <c r="AE28" s="18">
        <f>2^(12-Q28)</f>
        <v>8</v>
      </c>
      <c r="AF28" s="1">
        <f t="shared" si="0"/>
        <v>3</v>
      </c>
      <c r="AG28" s="1">
        <f t="shared" si="1"/>
        <v>5</v>
      </c>
    </row>
    <row r="29" spans="1:34">
      <c r="A29" s="1">
        <v>10</v>
      </c>
      <c r="B29" s="5" t="s">
        <v>23</v>
      </c>
      <c r="C29" s="2"/>
      <c r="D29" s="2"/>
      <c r="E29" s="2"/>
      <c r="F29" s="2"/>
      <c r="G29" s="2"/>
      <c r="H29" s="2"/>
      <c r="I29" s="2">
        <v>1</v>
      </c>
      <c r="J29" s="2"/>
      <c r="K29" s="2"/>
      <c r="L29" s="2"/>
      <c r="M29" s="2"/>
      <c r="N29" s="2">
        <v>1</v>
      </c>
      <c r="O29" s="4">
        <f>+SUMPRODUCT(C29:N29,$C$32:$N$32)</f>
        <v>33</v>
      </c>
      <c r="Q29" s="1">
        <v>10</v>
      </c>
      <c r="R29" s="8" t="s">
        <v>23</v>
      </c>
      <c r="S29" s="13"/>
      <c r="T29" s="2"/>
      <c r="U29" s="14"/>
      <c r="V29" s="13"/>
      <c r="W29" s="2"/>
      <c r="X29" s="14"/>
      <c r="Y29" s="13">
        <v>1</v>
      </c>
      <c r="Z29" s="2"/>
      <c r="AA29" s="14"/>
      <c r="AB29" s="13"/>
      <c r="AC29" s="2"/>
      <c r="AD29" s="14">
        <v>1</v>
      </c>
      <c r="AE29" s="18">
        <f>2^(12-Q29)</f>
        <v>4</v>
      </c>
      <c r="AF29" s="1">
        <f t="shared" si="0"/>
        <v>0</v>
      </c>
      <c r="AG29" s="1">
        <f t="shared" si="1"/>
        <v>2</v>
      </c>
    </row>
    <row r="30" spans="1:34">
      <c r="A30" s="1">
        <v>11</v>
      </c>
      <c r="B30" s="5" t="s">
        <v>17</v>
      </c>
      <c r="C30" s="2"/>
      <c r="D30" s="2"/>
      <c r="E30" s="2"/>
      <c r="F30" s="2"/>
      <c r="G30" s="2"/>
      <c r="H30" s="2"/>
      <c r="I30" s="2"/>
      <c r="J30" s="2">
        <v>1</v>
      </c>
      <c r="K30" s="2"/>
      <c r="L30" s="2"/>
      <c r="M30" s="2"/>
      <c r="N30" s="2">
        <v>1</v>
      </c>
      <c r="O30" s="4">
        <f>+SUMPRODUCT(C30:N30,$C$32:$N$32)</f>
        <v>17</v>
      </c>
      <c r="Q30" s="1">
        <v>11</v>
      </c>
      <c r="R30" s="8" t="s">
        <v>17</v>
      </c>
      <c r="S30" s="13"/>
      <c r="T30" s="2"/>
      <c r="U30" s="14"/>
      <c r="V30" s="13"/>
      <c r="W30" s="2"/>
      <c r="X30" s="14"/>
      <c r="Y30" s="13"/>
      <c r="Z30" s="2">
        <v>1</v>
      </c>
      <c r="AA30" s="14"/>
      <c r="AB30" s="13"/>
      <c r="AC30" s="2"/>
      <c r="AD30" s="14">
        <v>1</v>
      </c>
      <c r="AE30" s="18">
        <f>2^(12-Q30)</f>
        <v>2</v>
      </c>
      <c r="AF30" s="1">
        <f t="shared" si="0"/>
        <v>0</v>
      </c>
      <c r="AG30" s="1">
        <f t="shared" si="1"/>
        <v>2</v>
      </c>
    </row>
    <row r="31" spans="1:34" ht="15.75" thickBot="1">
      <c r="A31" s="1">
        <v>12</v>
      </c>
      <c r="B31" s="5" t="s">
        <v>18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>
        <v>1</v>
      </c>
      <c r="O31" s="4">
        <f>+SUMPRODUCT(C31:N31,$C$32:$N$32)</f>
        <v>1</v>
      </c>
      <c r="Q31" s="1">
        <v>12</v>
      </c>
      <c r="R31" s="8" t="s">
        <v>18</v>
      </c>
      <c r="S31" s="15"/>
      <c r="T31" s="16"/>
      <c r="U31" s="17"/>
      <c r="V31" s="15"/>
      <c r="W31" s="16"/>
      <c r="X31" s="17"/>
      <c r="Y31" s="15"/>
      <c r="Z31" s="16"/>
      <c r="AA31" s="17"/>
      <c r="AB31" s="15"/>
      <c r="AC31" s="16"/>
      <c r="AD31" s="17">
        <v>1</v>
      </c>
      <c r="AE31" s="18">
        <f>2^(12-Q31)</f>
        <v>1</v>
      </c>
      <c r="AF31" s="1">
        <f t="shared" si="0"/>
        <v>0</v>
      </c>
      <c r="AG31" s="1">
        <f t="shared" si="1"/>
        <v>1</v>
      </c>
    </row>
    <row r="32" spans="1:34">
      <c r="B32" s="3" t="s">
        <v>24</v>
      </c>
      <c r="C32" s="3">
        <f>2^(12-C18)</f>
        <v>2048</v>
      </c>
      <c r="D32" s="3">
        <f>2^(12-D18)</f>
        <v>1024</v>
      </c>
      <c r="E32" s="3">
        <f>2^(12-E18)</f>
        <v>512</v>
      </c>
      <c r="F32" s="3">
        <f>2^(12-F18)</f>
        <v>256</v>
      </c>
      <c r="G32" s="3">
        <f>2^(12-G18)</f>
        <v>128</v>
      </c>
      <c r="H32" s="3">
        <f>2^(12-H18)</f>
        <v>64</v>
      </c>
      <c r="I32" s="3">
        <f>2^(12-I18)</f>
        <v>32</v>
      </c>
      <c r="J32" s="3">
        <f>2^(12-J18)</f>
        <v>16</v>
      </c>
      <c r="K32" s="3">
        <f>2^(12-K18)</f>
        <v>8</v>
      </c>
      <c r="L32" s="3">
        <f>2^(12-L18)</f>
        <v>4</v>
      </c>
      <c r="M32" s="3">
        <f>2^(12-M18)</f>
        <v>2</v>
      </c>
      <c r="N32" s="3">
        <f>2^(12-N18)</f>
        <v>1</v>
      </c>
      <c r="O32" s="6"/>
      <c r="R32" s="4" t="s">
        <v>25</v>
      </c>
      <c r="S32" s="9">
        <f>+SUMPRODUCT(S20:S31,$AE$20:$AE$31)</f>
        <v>4032</v>
      </c>
      <c r="T32" s="9">
        <f>+SUMPRODUCT(T20:T31,$AE$20:$AE$31)</f>
        <v>3840</v>
      </c>
      <c r="U32" s="9">
        <f>+SUMPRODUCT(U20:U31,$AE$20:$AE$31)</f>
        <v>3584</v>
      </c>
      <c r="V32" s="9">
        <f>+SUMPRODUCT(V20:V31,$AE$20:$AE$31)</f>
        <v>3072</v>
      </c>
      <c r="W32" s="9">
        <f>+SUMPRODUCT(W20:W31,$AE$20:$AE$31)</f>
        <v>2304</v>
      </c>
      <c r="X32" s="9">
        <f>+SUMPRODUCT(X20:X31,$AE$20:$AE$31)</f>
        <v>2096</v>
      </c>
      <c r="Y32" s="9">
        <f>+SUMPRODUCT(Y20:Y31,$AE$20:$AE$31)</f>
        <v>1676</v>
      </c>
      <c r="Z32" s="9">
        <f>+SUMPRODUCT(Z20:Z31,$AE$20:$AE$31)</f>
        <v>682</v>
      </c>
      <c r="AA32" s="9">
        <f>+SUMPRODUCT(AA20:AA31,$AE$20:$AE$31)</f>
        <v>648</v>
      </c>
      <c r="AB32" s="9">
        <f>+SUMPRODUCT(AB20:AB31,$AE$20:$AE$31)</f>
        <v>176</v>
      </c>
      <c r="AC32" s="9">
        <f>+SUMPRODUCT(AC20:AC31,$AE$20:$AE$31)</f>
        <v>56</v>
      </c>
      <c r="AD32" s="9">
        <f>+SUMPRODUCT(AD20:AD31,$AE$20:$AE$31)</f>
        <v>15</v>
      </c>
      <c r="AE32" s="6"/>
      <c r="AF32" s="1">
        <f>SUM(AF20:AF31)</f>
        <v>18</v>
      </c>
      <c r="AG32" s="1">
        <f>SUM(AG20:AG31)</f>
        <v>43</v>
      </c>
      <c r="AH32" s="1">
        <f>+AG32-AF32</f>
        <v>25</v>
      </c>
    </row>
    <row r="34" spans="19:30">
      <c r="S34" s="22" t="s">
        <v>27</v>
      </c>
      <c r="T34" s="22"/>
      <c r="U34" s="22"/>
      <c r="V34" s="22" t="s">
        <v>28</v>
      </c>
      <c r="W34" s="22"/>
      <c r="X34" s="22"/>
      <c r="Y34" s="22" t="s">
        <v>29</v>
      </c>
      <c r="Z34" s="22"/>
      <c r="AA34" s="22"/>
      <c r="AB34" s="22" t="s">
        <v>30</v>
      </c>
      <c r="AC34" s="22"/>
      <c r="AD34" s="22"/>
    </row>
  </sheetData>
  <sortState xmlns:xlrd2="http://schemas.microsoft.com/office/spreadsheetml/2017/richdata2" columnSort="1" ref="R19:AD32">
    <sortCondition descending="1" ref="R32:AD32"/>
  </sortState>
  <mergeCells count="4">
    <mergeCell ref="S34:U34"/>
    <mergeCell ref="V34:X34"/>
    <mergeCell ref="Y34:AA34"/>
    <mergeCell ref="AB34:AD3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73212-189A-4EED-8C8B-B6B56C0366CD}">
  <dimension ref="B3:O27"/>
  <sheetViews>
    <sheetView workbookViewId="0">
      <selection activeCell="H28" sqref="H28"/>
    </sheetView>
  </sheetViews>
  <sheetFormatPr baseColWidth="10" defaultRowHeight="15"/>
  <cols>
    <col min="2" max="2" width="18.42578125" bestFit="1" customWidth="1"/>
  </cols>
  <sheetData>
    <row r="3" spans="2:15" ht="60">
      <c r="C3" s="20" t="s">
        <v>0</v>
      </c>
      <c r="D3" s="20" t="s">
        <v>1</v>
      </c>
      <c r="E3" s="20" t="s">
        <v>2</v>
      </c>
      <c r="F3" s="20" t="s">
        <v>3</v>
      </c>
      <c r="G3" s="20" t="s">
        <v>4</v>
      </c>
      <c r="H3" s="20" t="s">
        <v>5</v>
      </c>
      <c r="I3" s="20" t="s">
        <v>6</v>
      </c>
      <c r="J3" s="20" t="s">
        <v>7</v>
      </c>
      <c r="K3" s="20" t="s">
        <v>8</v>
      </c>
      <c r="L3" s="20" t="s">
        <v>9</v>
      </c>
      <c r="M3" s="20" t="s">
        <v>10</v>
      </c>
      <c r="N3" s="20" t="s">
        <v>11</v>
      </c>
    </row>
    <row r="4" spans="2:15">
      <c r="B4" s="21" t="s">
        <v>27</v>
      </c>
      <c r="C4" s="21">
        <v>0</v>
      </c>
      <c r="D4" s="21">
        <v>0</v>
      </c>
      <c r="E4" s="21">
        <v>1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1</v>
      </c>
      <c r="M4" s="21">
        <v>1</v>
      </c>
      <c r="N4" s="21">
        <v>0</v>
      </c>
      <c r="O4" s="21">
        <f>+SUM(C4:N4)</f>
        <v>3</v>
      </c>
    </row>
    <row r="5" spans="2:15">
      <c r="B5" s="21" t="s">
        <v>28</v>
      </c>
      <c r="C5" s="21">
        <v>1</v>
      </c>
      <c r="D5" s="21">
        <v>0</v>
      </c>
      <c r="E5" s="21">
        <v>0</v>
      </c>
      <c r="F5" s="21">
        <v>1</v>
      </c>
      <c r="G5" s="21">
        <v>0</v>
      </c>
      <c r="H5" s="21">
        <v>0</v>
      </c>
      <c r="I5" s="21">
        <v>0</v>
      </c>
      <c r="J5" s="21">
        <v>1</v>
      </c>
      <c r="K5" s="21">
        <v>0</v>
      </c>
      <c r="L5" s="21">
        <v>0</v>
      </c>
      <c r="M5" s="21">
        <v>0</v>
      </c>
      <c r="N5" s="21">
        <v>0</v>
      </c>
      <c r="O5" s="21">
        <f t="shared" ref="O5:O7" si="0">+SUM(C5:N5)</f>
        <v>3</v>
      </c>
    </row>
    <row r="6" spans="2:15">
      <c r="B6" s="21" t="s">
        <v>29</v>
      </c>
      <c r="C6" s="21">
        <v>0</v>
      </c>
      <c r="D6" s="21">
        <v>0</v>
      </c>
      <c r="E6" s="21">
        <v>0</v>
      </c>
      <c r="F6" s="21">
        <v>0</v>
      </c>
      <c r="G6" s="21">
        <v>0</v>
      </c>
      <c r="H6" s="21">
        <v>1</v>
      </c>
      <c r="I6" s="21">
        <v>0</v>
      </c>
      <c r="J6" s="21">
        <v>0</v>
      </c>
      <c r="K6" s="21">
        <v>1</v>
      </c>
      <c r="L6" s="21">
        <v>0</v>
      </c>
      <c r="M6" s="21">
        <v>0</v>
      </c>
      <c r="N6" s="21">
        <v>1</v>
      </c>
      <c r="O6" s="21">
        <f t="shared" si="0"/>
        <v>3</v>
      </c>
    </row>
    <row r="7" spans="2:15">
      <c r="B7" s="21" t="s">
        <v>30</v>
      </c>
      <c r="C7" s="21">
        <v>0</v>
      </c>
      <c r="D7" s="21">
        <v>1</v>
      </c>
      <c r="E7" s="21">
        <v>0</v>
      </c>
      <c r="F7" s="21">
        <v>0</v>
      </c>
      <c r="G7" s="21">
        <v>1</v>
      </c>
      <c r="H7" s="21">
        <v>0</v>
      </c>
      <c r="I7" s="21">
        <v>1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21">
        <f t="shared" si="0"/>
        <v>3</v>
      </c>
    </row>
    <row r="8" spans="2:15">
      <c r="C8">
        <f>SUM(C4:C7)</f>
        <v>1</v>
      </c>
      <c r="D8">
        <f t="shared" ref="D8:N8" si="1">SUM(D4:D7)</f>
        <v>1</v>
      </c>
      <c r="E8">
        <f t="shared" si="1"/>
        <v>1</v>
      </c>
      <c r="F8">
        <f t="shared" si="1"/>
        <v>1</v>
      </c>
      <c r="G8">
        <f t="shared" si="1"/>
        <v>1</v>
      </c>
      <c r="H8">
        <f t="shared" si="1"/>
        <v>1</v>
      </c>
      <c r="I8">
        <f t="shared" si="1"/>
        <v>1</v>
      </c>
      <c r="J8">
        <f t="shared" si="1"/>
        <v>1</v>
      </c>
      <c r="K8">
        <f t="shared" si="1"/>
        <v>1</v>
      </c>
      <c r="L8">
        <f t="shared" si="1"/>
        <v>1</v>
      </c>
      <c r="M8">
        <f t="shared" si="1"/>
        <v>1</v>
      </c>
      <c r="N8">
        <f t="shared" si="1"/>
        <v>1</v>
      </c>
    </row>
    <row r="11" spans="2:15">
      <c r="C11" s="23" t="s">
        <v>31</v>
      </c>
      <c r="D11" s="23"/>
      <c r="E11" s="23"/>
      <c r="F11" s="23"/>
      <c r="H11" s="23" t="s">
        <v>32</v>
      </c>
      <c r="I11" s="23"/>
      <c r="J11" s="23"/>
      <c r="K11" s="23"/>
    </row>
    <row r="12" spans="2:15">
      <c r="B12" s="5" t="s">
        <v>12</v>
      </c>
      <c r="C12" s="21">
        <f>SUMPRODUCT(Hoja1!$C4:$N4,$C$4:$N$4)</f>
        <v>1</v>
      </c>
      <c r="D12" s="21">
        <f>SUMPRODUCT(Hoja1!$C4:$N4,$C$5:$N$5)</f>
        <v>2</v>
      </c>
      <c r="E12" s="21">
        <f>SUMPRODUCT(Hoja1!$C4:$N4,$C$6:$N$6)</f>
        <v>1</v>
      </c>
      <c r="F12" s="21">
        <f>SUMPRODUCT(Hoja1!$C4:$N4,$C$7:$N$7)</f>
        <v>2</v>
      </c>
      <c r="H12" s="21">
        <v>1</v>
      </c>
      <c r="I12" s="21">
        <v>1</v>
      </c>
      <c r="J12" s="21">
        <v>1</v>
      </c>
      <c r="K12" s="21">
        <v>1</v>
      </c>
    </row>
    <row r="13" spans="2:15">
      <c r="B13" s="5" t="s">
        <v>21</v>
      </c>
      <c r="C13" s="21">
        <f>SUMPRODUCT(Hoja1!$C5:$N5,$C$4:$N$4)</f>
        <v>1</v>
      </c>
      <c r="D13" s="21">
        <f>SUMPRODUCT(Hoja1!$C5:$N5,$C$5:$N$5)</f>
        <v>3</v>
      </c>
      <c r="E13" s="21">
        <f>SUMPRODUCT(Hoja1!$C5:$N5,$C$6:$N$6)</f>
        <v>1</v>
      </c>
      <c r="F13" s="21">
        <f>SUMPRODUCT(Hoja1!$C5:$N5,$C$7:$N$7)</f>
        <v>1</v>
      </c>
      <c r="H13" s="21">
        <v>1</v>
      </c>
      <c r="I13" s="21">
        <v>1</v>
      </c>
      <c r="J13" s="21">
        <v>1</v>
      </c>
      <c r="K13" s="21">
        <v>1</v>
      </c>
    </row>
    <row r="14" spans="2:15">
      <c r="B14" s="5" t="s">
        <v>16</v>
      </c>
      <c r="C14" s="21">
        <f>SUMPRODUCT(Hoja1!$C6:$N6,$C$4:$N$4)</f>
        <v>1</v>
      </c>
      <c r="D14" s="21">
        <f>SUMPRODUCT(Hoja1!$C6:$N6,$C$5:$N$5)</f>
        <v>2</v>
      </c>
      <c r="E14" s="21">
        <f>SUMPRODUCT(Hoja1!$C6:$N6,$C$6:$N$6)</f>
        <v>1</v>
      </c>
      <c r="F14" s="21">
        <f>SUMPRODUCT(Hoja1!$C6:$N6,$C$7:$N$7)</f>
        <v>1</v>
      </c>
      <c r="H14" s="21">
        <v>1</v>
      </c>
      <c r="I14" s="21">
        <v>1</v>
      </c>
      <c r="J14" s="21">
        <v>1</v>
      </c>
      <c r="K14" s="21">
        <v>1</v>
      </c>
    </row>
    <row r="15" spans="2:15">
      <c r="B15" s="5" t="s">
        <v>19</v>
      </c>
      <c r="C15" s="21">
        <f>SUMPRODUCT(Hoja1!$C7:$N7,$C$4:$N$4)</f>
        <v>1</v>
      </c>
      <c r="D15" s="21">
        <f>SUMPRODUCT(Hoja1!$C7:$N7,$C$5:$N$5)</f>
        <v>1</v>
      </c>
      <c r="E15" s="21">
        <f>SUMPRODUCT(Hoja1!$C7:$N7,$C$6:$N$6)</f>
        <v>0</v>
      </c>
      <c r="F15" s="21">
        <f>SUMPRODUCT(Hoja1!$C7:$N7,$C$7:$N$7)</f>
        <v>1</v>
      </c>
      <c r="H15" s="21">
        <v>1</v>
      </c>
      <c r="I15" s="21">
        <v>1</v>
      </c>
      <c r="J15" s="21">
        <v>0</v>
      </c>
      <c r="K15" s="21">
        <v>1</v>
      </c>
    </row>
    <row r="16" spans="2:15">
      <c r="B16" s="5" t="s">
        <v>15</v>
      </c>
      <c r="C16" s="21">
        <f>SUMPRODUCT(Hoja1!$C8:$N8,$C$4:$N$4)</f>
        <v>1</v>
      </c>
      <c r="D16" s="21">
        <f>SUMPRODUCT(Hoja1!$C8:$N8,$C$5:$N$5)</f>
        <v>1</v>
      </c>
      <c r="E16" s="21">
        <f>SUMPRODUCT(Hoja1!$C8:$N8,$C$6:$N$6)</f>
        <v>1</v>
      </c>
      <c r="F16" s="21">
        <f>SUMPRODUCT(Hoja1!$C8:$N8,$C$7:$N$7)</f>
        <v>1</v>
      </c>
      <c r="H16" s="21">
        <v>1</v>
      </c>
      <c r="I16" s="21">
        <v>1</v>
      </c>
      <c r="J16" s="21">
        <v>1</v>
      </c>
      <c r="K16" s="21">
        <v>1</v>
      </c>
    </row>
    <row r="17" spans="2:13">
      <c r="B17" s="5" t="s">
        <v>22</v>
      </c>
      <c r="C17" s="21">
        <f>SUMPRODUCT(Hoja1!$C9:$N9,$C$4:$N$4)</f>
        <v>1</v>
      </c>
      <c r="D17" s="21">
        <f>SUMPRODUCT(Hoja1!$C9:$N9,$C$5:$N$5)</f>
        <v>0</v>
      </c>
      <c r="E17" s="21">
        <f>SUMPRODUCT(Hoja1!$C9:$N9,$C$6:$N$6)</f>
        <v>1</v>
      </c>
      <c r="F17" s="21">
        <f>SUMPRODUCT(Hoja1!$C9:$N9,$C$7:$N$7)</f>
        <v>1</v>
      </c>
      <c r="H17" s="21">
        <v>1</v>
      </c>
      <c r="I17" s="21">
        <v>0</v>
      </c>
      <c r="J17" s="21">
        <v>1</v>
      </c>
      <c r="K17" s="21">
        <v>1</v>
      </c>
    </row>
    <row r="18" spans="2:13">
      <c r="B18" s="5" t="s">
        <v>13</v>
      </c>
      <c r="C18" s="21">
        <f>SUMPRODUCT(Hoja1!$C10:$N10,$C$4:$N$4)</f>
        <v>2</v>
      </c>
      <c r="D18" s="21">
        <f>SUMPRODUCT(Hoja1!$C10:$N10,$C$5:$N$5)</f>
        <v>1</v>
      </c>
      <c r="E18" s="21">
        <f>SUMPRODUCT(Hoja1!$C10:$N10,$C$6:$N$6)</f>
        <v>1</v>
      </c>
      <c r="F18" s="21">
        <f>SUMPRODUCT(Hoja1!$C10:$N10,$C$7:$N$7)</f>
        <v>1</v>
      </c>
      <c r="H18" s="21">
        <v>1</v>
      </c>
      <c r="I18" s="21">
        <v>1</v>
      </c>
      <c r="J18" s="21">
        <v>1</v>
      </c>
      <c r="K18" s="21">
        <v>1</v>
      </c>
    </row>
    <row r="19" spans="2:13">
      <c r="B19" s="5" t="s">
        <v>20</v>
      </c>
      <c r="C19" s="21">
        <f>SUMPRODUCT(Hoja1!$C11:$N11,$C$4:$N$4)</f>
        <v>1</v>
      </c>
      <c r="D19" s="21">
        <f>SUMPRODUCT(Hoja1!$C11:$N11,$C$5:$N$5)</f>
        <v>0</v>
      </c>
      <c r="E19" s="21">
        <f>SUMPRODUCT(Hoja1!$C11:$N11,$C$6:$N$6)</f>
        <v>0</v>
      </c>
      <c r="F19" s="21">
        <f>SUMPRODUCT(Hoja1!$C11:$N11,$C$7:$N$7)</f>
        <v>1</v>
      </c>
      <c r="H19" s="21">
        <v>1</v>
      </c>
      <c r="I19" s="21">
        <v>0</v>
      </c>
      <c r="J19" s="21">
        <v>0</v>
      </c>
      <c r="K19" s="21">
        <v>1</v>
      </c>
    </row>
    <row r="20" spans="2:13">
      <c r="B20" s="5" t="s">
        <v>14</v>
      </c>
      <c r="C20" s="21">
        <f>SUMPRODUCT(Hoja1!$C12:$N12,$C$4:$N$4)</f>
        <v>1</v>
      </c>
      <c r="D20" s="21">
        <f>SUMPRODUCT(Hoja1!$C12:$N12,$C$5:$N$5)</f>
        <v>1</v>
      </c>
      <c r="E20" s="21">
        <f>SUMPRODUCT(Hoja1!$C12:$N12,$C$6:$N$6)</f>
        <v>0</v>
      </c>
      <c r="F20" s="21">
        <f>SUMPRODUCT(Hoja1!$C12:$N12,$C$7:$N$7)</f>
        <v>0</v>
      </c>
      <c r="H20" s="21">
        <v>1</v>
      </c>
      <c r="I20" s="21">
        <v>1</v>
      </c>
      <c r="J20" s="21">
        <v>0</v>
      </c>
      <c r="K20" s="21">
        <v>0</v>
      </c>
    </row>
    <row r="21" spans="2:13">
      <c r="B21" s="5" t="s">
        <v>23</v>
      </c>
      <c r="C21" s="21">
        <f>SUMPRODUCT(Hoja1!$C13:$N13,$C$4:$N$4)</f>
        <v>1</v>
      </c>
      <c r="D21" s="21">
        <f>SUMPRODUCT(Hoja1!$C13:$N13,$C$5:$N$5)</f>
        <v>0</v>
      </c>
      <c r="E21" s="21">
        <f>SUMPRODUCT(Hoja1!$C13:$N13,$C$6:$N$6)</f>
        <v>0</v>
      </c>
      <c r="F21" s="21">
        <f>SUMPRODUCT(Hoja1!$C13:$N13,$C$7:$N$7)</f>
        <v>0</v>
      </c>
      <c r="H21" s="21">
        <v>1</v>
      </c>
      <c r="I21" s="21">
        <v>0</v>
      </c>
      <c r="J21" s="21">
        <v>0</v>
      </c>
      <c r="K21" s="21">
        <v>0</v>
      </c>
    </row>
    <row r="22" spans="2:13">
      <c r="B22" s="5" t="s">
        <v>17</v>
      </c>
      <c r="C22" s="21">
        <f>SUMPRODUCT(Hoja1!$C14:$N14,$C$4:$N$4)</f>
        <v>1</v>
      </c>
      <c r="D22" s="21">
        <f>SUMPRODUCT(Hoja1!$C14:$N14,$C$5:$N$5)</f>
        <v>1</v>
      </c>
      <c r="E22" s="21">
        <f>SUMPRODUCT(Hoja1!$C14:$N14,$C$6:$N$6)</f>
        <v>2</v>
      </c>
      <c r="F22" s="21">
        <f>SUMPRODUCT(Hoja1!$C14:$N14,$C$7:$N$7)</f>
        <v>1</v>
      </c>
      <c r="H22" s="21">
        <v>1</v>
      </c>
      <c r="I22" s="21">
        <v>1</v>
      </c>
      <c r="J22" s="21">
        <v>1</v>
      </c>
      <c r="K22" s="21">
        <v>1</v>
      </c>
    </row>
    <row r="23" spans="2:13">
      <c r="B23" s="5" t="s">
        <v>18</v>
      </c>
      <c r="C23" s="21">
        <f>SUMPRODUCT(Hoja1!$C15:$N15,$C$4:$N$4)</f>
        <v>1</v>
      </c>
      <c r="D23" s="21">
        <f>SUMPRODUCT(Hoja1!$C15:$N15,$C$5:$N$5)</f>
        <v>0</v>
      </c>
      <c r="E23" s="21">
        <f>SUMPRODUCT(Hoja1!$C15:$N15,$C$6:$N$6)</f>
        <v>0</v>
      </c>
      <c r="F23" s="21">
        <f>SUMPRODUCT(Hoja1!$C15:$N15,$C$7:$N$7)</f>
        <v>0</v>
      </c>
      <c r="H23" s="21">
        <v>1</v>
      </c>
      <c r="I23" s="21">
        <v>0</v>
      </c>
      <c r="J23" s="21">
        <v>0</v>
      </c>
      <c r="K23" s="21">
        <v>0</v>
      </c>
    </row>
    <row r="24" spans="2:13">
      <c r="H24">
        <f>SUM(H12:K23)</f>
        <v>36</v>
      </c>
      <c r="M24">
        <f>SUM(Hoja1!$C$4:$N$15)-H24</f>
        <v>7</v>
      </c>
    </row>
    <row r="26" spans="2:13">
      <c r="H26" s="24" t="s">
        <v>33</v>
      </c>
    </row>
    <row r="27" spans="2:13">
      <c r="H27" s="25">
        <f>+(Hoja1!AF32-Optimizacion!M24)/Hoja1!AF32</f>
        <v>0.61111111111111116</v>
      </c>
    </row>
  </sheetData>
  <mergeCells count="2">
    <mergeCell ref="C11:F11"/>
    <mergeCell ref="H11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Optimizacion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DE JESUS YUNIS SANCHEZ</dc:creator>
  <cp:lastModifiedBy>EDWIN DE JESUS YUNIS SANCHEZ</cp:lastModifiedBy>
  <dcterms:created xsi:type="dcterms:W3CDTF">2026-10-29T15:06:49Z</dcterms:created>
  <dcterms:modified xsi:type="dcterms:W3CDTF">2026-10-29T17:12:30Z</dcterms:modified>
</cp:coreProperties>
</file>